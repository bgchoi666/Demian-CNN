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_CNN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1" l="1"/>
  <c r="J52" i="1" l="1"/>
  <c r="J51" i="1"/>
  <c r="J50" i="1"/>
  <c r="J49" i="1"/>
  <c r="J48" i="1"/>
  <c r="J47" i="1"/>
  <c r="J45" i="1"/>
  <c r="J44" i="1"/>
  <c r="J43" i="1"/>
  <c r="J42" i="1"/>
  <c r="J41" i="1"/>
  <c r="J40" i="1"/>
  <c r="J39" i="1"/>
  <c r="J38" i="1"/>
  <c r="J53" i="1" l="1"/>
  <c r="J46" i="1"/>
  <c r="J33" i="1"/>
  <c r="J32" i="1"/>
  <c r="J31" i="1"/>
  <c r="J30" i="1"/>
  <c r="J29" i="1"/>
  <c r="J25" i="1"/>
  <c r="J24" i="1"/>
  <c r="J23" i="1"/>
  <c r="J54" i="1" l="1"/>
  <c r="J22" i="1"/>
  <c r="J26" i="1" l="1"/>
  <c r="J34" i="1"/>
  <c r="J35" i="1" s="1"/>
  <c r="J21" i="1"/>
  <c r="J20" i="1"/>
  <c r="J28" i="1" s="1"/>
  <c r="J36" i="1" s="1"/>
  <c r="J4" i="1" l="1"/>
  <c r="J5" i="1"/>
  <c r="J6" i="1"/>
  <c r="J7" i="1"/>
  <c r="J8" i="1"/>
  <c r="J9" i="1"/>
  <c r="J11" i="1"/>
  <c r="J12" i="1"/>
  <c r="J13" i="1"/>
  <c r="J14" i="1"/>
  <c r="J15" i="1"/>
  <c r="J16" i="1"/>
  <c r="J3" i="1"/>
  <c r="J2" i="1"/>
  <c r="J18" i="1" l="1"/>
  <c r="J55" i="1" s="1"/>
  <c r="J17" i="1"/>
  <c r="J10" i="1"/>
</calcChain>
</file>

<file path=xl/sharedStrings.xml><?xml version="1.0" encoding="utf-8"?>
<sst xmlns="http://schemas.openxmlformats.org/spreadsheetml/2006/main" count="82" uniqueCount="40">
  <si>
    <t>interval</t>
    <phoneticPr fontId="1" type="noConversion"/>
  </si>
  <si>
    <t>steps</t>
    <phoneticPr fontId="1" type="noConversion"/>
  </si>
  <si>
    <t>2014년</t>
    <phoneticPr fontId="1" type="noConversion"/>
  </si>
  <si>
    <t>2015년</t>
  </si>
  <si>
    <t>2016년</t>
  </si>
  <si>
    <t>2017년</t>
  </si>
  <si>
    <t>평균</t>
    <phoneticPr fontId="1" type="noConversion"/>
  </si>
  <si>
    <t>bovespa</t>
    <phoneticPr fontId="1" type="noConversion"/>
  </si>
  <si>
    <t>dax</t>
    <phoneticPr fontId="1" type="noConversion"/>
  </si>
  <si>
    <t>ftse</t>
    <phoneticPr fontId="1" type="noConversion"/>
  </si>
  <si>
    <t>nikey225</t>
    <phoneticPr fontId="1" type="noConversion"/>
  </si>
  <si>
    <t>금선물</t>
    <phoneticPr fontId="1" type="noConversion"/>
  </si>
  <si>
    <t>s&amp;p500</t>
    <phoneticPr fontId="1" type="noConversion"/>
  </si>
  <si>
    <t>상해종합</t>
    <phoneticPr fontId="1" type="noConversion"/>
  </si>
  <si>
    <t>독일국채</t>
    <phoneticPr fontId="1" type="noConversion"/>
  </si>
  <si>
    <t>미국국채</t>
    <phoneticPr fontId="1" type="noConversion"/>
  </si>
  <si>
    <t>브라질국채</t>
    <phoneticPr fontId="1" type="noConversion"/>
  </si>
  <si>
    <t>영국국채</t>
    <phoneticPr fontId="1" type="noConversion"/>
  </si>
  <si>
    <t>일본국채</t>
    <phoneticPr fontId="1" type="noConversion"/>
  </si>
  <si>
    <t>한국국채</t>
    <phoneticPr fontId="1" type="noConversion"/>
  </si>
  <si>
    <t>지수평균</t>
    <phoneticPr fontId="1" type="noConversion"/>
  </si>
  <si>
    <t>채권평균</t>
    <phoneticPr fontId="1" type="noConversion"/>
  </si>
  <si>
    <t>130일 평균</t>
    <phoneticPr fontId="1" type="noConversion"/>
  </si>
  <si>
    <t>65일평균</t>
    <phoneticPr fontId="1" type="noConversion"/>
  </si>
  <si>
    <t>260일 평균</t>
    <phoneticPr fontId="1" type="noConversion"/>
  </si>
  <si>
    <t>전체평균</t>
    <phoneticPr fontId="1" type="noConversion"/>
  </si>
  <si>
    <t>kernel width.stride</t>
    <phoneticPr fontId="1" type="noConversion"/>
  </si>
  <si>
    <t>pool width&amp;stride</t>
    <phoneticPr fontId="1" type="noConversion"/>
  </si>
  <si>
    <t>pool width&amp;stride</t>
    <phoneticPr fontId="1" type="noConversion"/>
  </si>
  <si>
    <t>지수평균</t>
    <phoneticPr fontId="1" type="noConversion"/>
  </si>
  <si>
    <t>채권평균</t>
    <phoneticPr fontId="1" type="noConversion"/>
  </si>
  <si>
    <t>지수평균</t>
    <phoneticPr fontId="1" type="noConversion"/>
  </si>
  <si>
    <t>채권평균</t>
    <phoneticPr fontId="1" type="noConversion"/>
  </si>
  <si>
    <t>kernel width.stride</t>
    <phoneticPr fontId="1" type="noConversion"/>
  </si>
  <si>
    <t>pool width&amp;stride</t>
    <phoneticPr fontId="1" type="noConversion"/>
  </si>
  <si>
    <t>65일 예측</t>
    <phoneticPr fontId="1" type="noConversion"/>
  </si>
  <si>
    <t>130일 예측</t>
    <phoneticPr fontId="1" type="noConversion"/>
  </si>
  <si>
    <t xml:space="preserve"> 260일 예측</t>
    <phoneticPr fontId="1" type="noConversion"/>
  </si>
  <si>
    <t>kospi</t>
    <phoneticPr fontId="1" type="noConversion"/>
  </si>
  <si>
    <t>kospi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</si>
</sst>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25" zoomScaleNormal="100" workbookViewId="0">
      <selection activeCell="B40" sqref="B40"/>
    </sheetView>
  </sheetViews>
  <sheetFormatPr defaultRowHeight="16.5" x14ac:dyDescent="0.3"/>
  <cols>
    <col min="1" max="1" width="12.125" customWidth="1"/>
    <col min="2" max="3" width="7.375" customWidth="1"/>
    <col min="4" max="4" width="17.25" customWidth="1"/>
    <col min="5" max="5" width="16.125" customWidth="1"/>
    <col min="6" max="8" width="7.375" customWidth="1"/>
    <col min="9" max="9" width="10.375" customWidth="1"/>
    <col min="10" max="10" width="7.375" customWidth="1"/>
  </cols>
  <sheetData>
    <row r="1" spans="1:10" x14ac:dyDescent="0.3">
      <c r="A1" s="2" t="s">
        <v>35</v>
      </c>
      <c r="B1" s="2" t="s">
        <v>0</v>
      </c>
      <c r="C1" s="2" t="s">
        <v>1</v>
      </c>
      <c r="D1" s="2" t="s">
        <v>33</v>
      </c>
      <c r="E1" s="2" t="s">
        <v>34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3">
      <c r="A2" t="s">
        <v>7</v>
      </c>
      <c r="B2">
        <v>30</v>
      </c>
      <c r="C2">
        <v>50</v>
      </c>
      <c r="D2">
        <v>5.0999999999999996</v>
      </c>
      <c r="E2">
        <v>2</v>
      </c>
      <c r="F2">
        <v>0.65517241379310298</v>
      </c>
      <c r="G2">
        <v>0.70992366412213703</v>
      </c>
      <c r="H2">
        <v>0.36781609195402298</v>
      </c>
      <c r="I2">
        <v>0.77394636015325602</v>
      </c>
      <c r="J2">
        <f>AVERAGE(F2:I2)</f>
        <v>0.62671463250562975</v>
      </c>
    </row>
    <row r="3" spans="1:10" x14ac:dyDescent="0.3">
      <c r="A3" t="s">
        <v>8</v>
      </c>
      <c r="B3">
        <v>20</v>
      </c>
      <c r="C3">
        <v>50</v>
      </c>
      <c r="D3">
        <v>5.0999999999999996</v>
      </c>
      <c r="E3">
        <v>2</v>
      </c>
      <c r="F3">
        <v>0.66666666666666596</v>
      </c>
      <c r="G3">
        <v>0.236641221374045</v>
      </c>
      <c r="H3">
        <v>0.38697318007662801</v>
      </c>
      <c r="I3">
        <v>0.570881226053639</v>
      </c>
      <c r="J3">
        <f>AVERAGE(F3:I3)</f>
        <v>0.4652905735427445</v>
      </c>
    </row>
    <row r="4" spans="1:10" x14ac:dyDescent="0.3">
      <c r="A4" t="s">
        <v>9</v>
      </c>
      <c r="B4">
        <v>20</v>
      </c>
      <c r="C4">
        <v>50</v>
      </c>
      <c r="D4">
        <v>5.0999999999999996</v>
      </c>
      <c r="E4">
        <v>2</v>
      </c>
      <c r="F4">
        <v>0.58620689699999995</v>
      </c>
      <c r="G4">
        <v>0.58015267175572505</v>
      </c>
      <c r="H4">
        <v>0.56704980800000004</v>
      </c>
      <c r="I4">
        <v>0.56321839100000004</v>
      </c>
      <c r="J4">
        <f t="shared" ref="J4:J16" si="0">AVERAGE(F4:I4)</f>
        <v>0.5741569419389313</v>
      </c>
    </row>
    <row r="5" spans="1:10" x14ac:dyDescent="0.3">
      <c r="A5" t="s">
        <v>38</v>
      </c>
      <c r="B5">
        <v>1</v>
      </c>
      <c r="C5">
        <v>100</v>
      </c>
      <c r="D5">
        <v>5.5</v>
      </c>
      <c r="E5">
        <v>2</v>
      </c>
      <c r="F5">
        <v>0.63601532567049801</v>
      </c>
      <c r="G5">
        <v>0.67175572519083904</v>
      </c>
      <c r="H5">
        <v>0.40996168582375397</v>
      </c>
      <c r="I5">
        <v>0.50574712643678099</v>
      </c>
      <c r="J5">
        <f t="shared" si="0"/>
        <v>0.55586996578046799</v>
      </c>
    </row>
    <row r="6" spans="1:10" x14ac:dyDescent="0.3">
      <c r="A6" t="s">
        <v>10</v>
      </c>
      <c r="B6">
        <v>10</v>
      </c>
      <c r="C6">
        <v>200</v>
      </c>
      <c r="D6">
        <v>5.5</v>
      </c>
      <c r="E6">
        <v>2</v>
      </c>
      <c r="F6">
        <v>0.86590038300000005</v>
      </c>
      <c r="G6">
        <v>0.610687023</v>
      </c>
      <c r="H6">
        <v>0.71647509600000003</v>
      </c>
      <c r="I6">
        <v>0.37547892700000002</v>
      </c>
      <c r="J6">
        <f t="shared" si="0"/>
        <v>0.64213535725000004</v>
      </c>
    </row>
    <row r="7" spans="1:10" x14ac:dyDescent="0.3">
      <c r="A7" t="s">
        <v>12</v>
      </c>
      <c r="B7">
        <v>5</v>
      </c>
      <c r="C7">
        <v>100</v>
      </c>
      <c r="D7">
        <v>5.4</v>
      </c>
      <c r="E7">
        <v>2</v>
      </c>
      <c r="F7">
        <v>0.86590038300000005</v>
      </c>
      <c r="G7">
        <v>0.480916030534351</v>
      </c>
      <c r="H7">
        <v>0.62835249042145502</v>
      </c>
      <c r="I7">
        <v>0.83908045977011403</v>
      </c>
      <c r="J7">
        <f t="shared" si="0"/>
        <v>0.70356234093147996</v>
      </c>
    </row>
    <row r="8" spans="1:10" x14ac:dyDescent="0.3">
      <c r="A8" t="s">
        <v>13</v>
      </c>
      <c r="B8">
        <v>20</v>
      </c>
      <c r="C8">
        <v>50</v>
      </c>
      <c r="D8">
        <v>5.5</v>
      </c>
      <c r="E8">
        <v>2</v>
      </c>
      <c r="F8">
        <v>0.176245210727969</v>
      </c>
      <c r="G8">
        <v>0.69465648854961803</v>
      </c>
      <c r="H8">
        <v>0.65517241379310298</v>
      </c>
      <c r="I8">
        <v>0.70114942528735602</v>
      </c>
      <c r="J8">
        <f t="shared" si="0"/>
        <v>0.55680588458951152</v>
      </c>
    </row>
    <row r="9" spans="1:10" x14ac:dyDescent="0.3">
      <c r="A9" t="s">
        <v>11</v>
      </c>
      <c r="B9">
        <v>30</v>
      </c>
      <c r="C9">
        <v>50</v>
      </c>
      <c r="D9">
        <v>5.5</v>
      </c>
      <c r="E9">
        <v>2</v>
      </c>
      <c r="F9">
        <v>0.39846743295019099</v>
      </c>
      <c r="G9">
        <v>0.58015267175572505</v>
      </c>
      <c r="H9">
        <v>0.55555555555555503</v>
      </c>
      <c r="I9">
        <v>0.58237547892720298</v>
      </c>
      <c r="J9">
        <f t="shared" si="0"/>
        <v>0.52913778479716855</v>
      </c>
    </row>
    <row r="10" spans="1:10" x14ac:dyDescent="0.3">
      <c r="I10" t="s">
        <v>20</v>
      </c>
      <c r="J10">
        <f>AVERAGE(J2:J9)</f>
        <v>0.58170918516699177</v>
      </c>
    </row>
    <row r="11" spans="1:10" x14ac:dyDescent="0.3">
      <c r="A11" t="s">
        <v>14</v>
      </c>
      <c r="B11">
        <v>30</v>
      </c>
      <c r="C11">
        <v>50</v>
      </c>
      <c r="D11">
        <v>5.5</v>
      </c>
      <c r="E11">
        <v>2</v>
      </c>
      <c r="F11">
        <v>0.785440613026819</v>
      </c>
      <c r="G11">
        <v>0.82824427480915996</v>
      </c>
      <c r="H11">
        <v>0.42528735632183901</v>
      </c>
      <c r="I11">
        <v>0.52490421455938696</v>
      </c>
      <c r="J11">
        <f t="shared" si="0"/>
        <v>0.64096911467930129</v>
      </c>
    </row>
    <row r="12" spans="1:10" x14ac:dyDescent="0.3">
      <c r="A12" t="s">
        <v>15</v>
      </c>
      <c r="B12">
        <v>30</v>
      </c>
      <c r="C12">
        <v>50</v>
      </c>
      <c r="D12">
        <v>5.5</v>
      </c>
      <c r="E12">
        <v>2</v>
      </c>
      <c r="F12">
        <v>0.74712643678160895</v>
      </c>
      <c r="G12">
        <v>0.65648854961832004</v>
      </c>
      <c r="H12">
        <v>0.54740061162079501</v>
      </c>
      <c r="I12">
        <v>0.50191570900000004</v>
      </c>
      <c r="J12">
        <f t="shared" si="0"/>
        <v>0.61323282675518098</v>
      </c>
    </row>
    <row r="13" spans="1:10" x14ac:dyDescent="0.3">
      <c r="A13" t="s">
        <v>16</v>
      </c>
      <c r="B13">
        <v>30</v>
      </c>
      <c r="C13">
        <v>50</v>
      </c>
      <c r="D13">
        <v>5.5</v>
      </c>
      <c r="E13">
        <v>2</v>
      </c>
      <c r="F13">
        <v>0.195402299</v>
      </c>
      <c r="G13">
        <v>0.65648854961832004</v>
      </c>
      <c r="H13">
        <v>1</v>
      </c>
      <c r="I13">
        <v>1</v>
      </c>
      <c r="J13">
        <f t="shared" si="0"/>
        <v>0.71297271215458002</v>
      </c>
    </row>
    <row r="14" spans="1:10" x14ac:dyDescent="0.3">
      <c r="A14" t="s">
        <v>17</v>
      </c>
      <c r="B14">
        <v>40</v>
      </c>
      <c r="C14">
        <v>50</v>
      </c>
      <c r="D14">
        <v>5.5</v>
      </c>
      <c r="E14">
        <v>2</v>
      </c>
      <c r="F14">
        <v>0.51340996168582298</v>
      </c>
      <c r="G14">
        <v>0.69465648854961803</v>
      </c>
      <c r="H14">
        <v>0.544061303</v>
      </c>
      <c r="I14">
        <v>0.56321839100000004</v>
      </c>
      <c r="J14">
        <f t="shared" si="0"/>
        <v>0.57883653605886021</v>
      </c>
    </row>
    <row r="15" spans="1:10" x14ac:dyDescent="0.3">
      <c r="A15" t="s">
        <v>18</v>
      </c>
      <c r="B15">
        <v>40</v>
      </c>
      <c r="C15">
        <v>80</v>
      </c>
      <c r="D15">
        <v>5.5</v>
      </c>
      <c r="E15">
        <v>2</v>
      </c>
      <c r="F15">
        <v>0.455938697</v>
      </c>
      <c r="G15">
        <v>0.70229007600000004</v>
      </c>
      <c r="H15">
        <v>0.56321839100000004</v>
      </c>
      <c r="I15">
        <v>0.53639846743295005</v>
      </c>
      <c r="J15">
        <f t="shared" si="0"/>
        <v>0.56446140785823751</v>
      </c>
    </row>
    <row r="16" spans="1:10" x14ac:dyDescent="0.3">
      <c r="A16" t="s">
        <v>19</v>
      </c>
      <c r="B16">
        <v>40</v>
      </c>
      <c r="C16">
        <v>80</v>
      </c>
      <c r="D16">
        <v>5.5</v>
      </c>
      <c r="E16">
        <v>2</v>
      </c>
      <c r="F16">
        <v>1</v>
      </c>
      <c r="G16">
        <v>1</v>
      </c>
      <c r="H16">
        <v>1</v>
      </c>
      <c r="I16">
        <v>0.75095785400000004</v>
      </c>
      <c r="J16">
        <f t="shared" si="0"/>
        <v>0.93773946350000004</v>
      </c>
    </row>
    <row r="17" spans="1:10" x14ac:dyDescent="0.3">
      <c r="I17" t="s">
        <v>21</v>
      </c>
      <c r="J17">
        <f>AVERAGE(J11:J16)</f>
        <v>0.67470201016769338</v>
      </c>
    </row>
    <row r="18" spans="1:10" x14ac:dyDescent="0.3">
      <c r="I18" t="s">
        <v>23</v>
      </c>
      <c r="J18">
        <f>AVERAGE(J2:J9,J11:J16)</f>
        <v>0.62156325302443527</v>
      </c>
    </row>
    <row r="19" spans="1:10" s="2" customFormat="1" x14ac:dyDescent="0.3">
      <c r="A19" s="2" t="s">
        <v>36</v>
      </c>
      <c r="B19" s="2" t="s">
        <v>0</v>
      </c>
      <c r="C19" s="2" t="s">
        <v>1</v>
      </c>
      <c r="D19" s="2" t="s">
        <v>26</v>
      </c>
      <c r="E19" s="2" t="s">
        <v>28</v>
      </c>
      <c r="F19" s="2" t="s">
        <v>2</v>
      </c>
      <c r="G19" s="2" t="s">
        <v>3</v>
      </c>
      <c r="H19" s="2" t="s">
        <v>4</v>
      </c>
      <c r="I19" s="2" t="s">
        <v>5</v>
      </c>
      <c r="J19" s="2" t="s">
        <v>6</v>
      </c>
    </row>
    <row r="20" spans="1:10" x14ac:dyDescent="0.3">
      <c r="A20" t="s">
        <v>7</v>
      </c>
      <c r="B20">
        <v>1</v>
      </c>
      <c r="C20">
        <v>50</v>
      </c>
      <c r="D20" s="1">
        <v>5.5</v>
      </c>
      <c r="E20">
        <v>2</v>
      </c>
      <c r="F20">
        <v>0.69731799999999999</v>
      </c>
      <c r="G20">
        <v>0.78244199999999997</v>
      </c>
      <c r="H20">
        <v>0.8659</v>
      </c>
      <c r="I20">
        <v>0.13026799999999999</v>
      </c>
      <c r="J20">
        <f t="shared" ref="J20:J27" si="1">AVERAGE(F20:I20)</f>
        <v>0.61898200000000003</v>
      </c>
    </row>
    <row r="21" spans="1:10" x14ac:dyDescent="0.3">
      <c r="A21" t="s">
        <v>8</v>
      </c>
      <c r="B21">
        <v>20</v>
      </c>
      <c r="C21">
        <v>50</v>
      </c>
      <c r="D21">
        <v>5.0999999999999996</v>
      </c>
      <c r="E21">
        <v>2</v>
      </c>
      <c r="F21">
        <v>0.39079999999999998</v>
      </c>
      <c r="G21">
        <v>0.57633000000000001</v>
      </c>
      <c r="H21">
        <v>0.79693000000000003</v>
      </c>
      <c r="I21">
        <v>0.60919000000000001</v>
      </c>
      <c r="J21">
        <f t="shared" si="1"/>
        <v>0.59331250000000002</v>
      </c>
    </row>
    <row r="22" spans="1:10" x14ac:dyDescent="0.3">
      <c r="A22" t="s">
        <v>9</v>
      </c>
      <c r="B22">
        <v>30</v>
      </c>
      <c r="C22">
        <v>100</v>
      </c>
      <c r="D22">
        <v>5.2</v>
      </c>
      <c r="E22">
        <v>2</v>
      </c>
      <c r="F22">
        <v>0.52490000000000003</v>
      </c>
      <c r="G22">
        <v>0.51144999999999996</v>
      </c>
      <c r="H22">
        <v>0.75861999999999996</v>
      </c>
      <c r="I22">
        <v>0.58620000000000005</v>
      </c>
      <c r="J22">
        <f t="shared" si="1"/>
        <v>0.5952925</v>
      </c>
    </row>
    <row r="23" spans="1:10" x14ac:dyDescent="0.3">
      <c r="A23" t="s">
        <v>38</v>
      </c>
      <c r="B23">
        <v>10</v>
      </c>
      <c r="C23">
        <v>100</v>
      </c>
      <c r="D23">
        <v>5.0999999999999996</v>
      </c>
      <c r="E23">
        <v>2</v>
      </c>
      <c r="F23">
        <v>0.50957854406130199</v>
      </c>
      <c r="G23">
        <v>0.74809160305343503</v>
      </c>
      <c r="H23">
        <v>0.57471264367816</v>
      </c>
      <c r="I23">
        <v>0.37164750957854398</v>
      </c>
      <c r="J23">
        <f t="shared" si="1"/>
        <v>0.55100757509286025</v>
      </c>
    </row>
    <row r="24" spans="1:10" x14ac:dyDescent="0.3">
      <c r="A24" t="s">
        <v>10</v>
      </c>
      <c r="B24">
        <v>10</v>
      </c>
      <c r="C24">
        <v>200</v>
      </c>
      <c r="D24">
        <v>5.5</v>
      </c>
      <c r="E24">
        <v>2</v>
      </c>
      <c r="F24">
        <v>0.8659</v>
      </c>
      <c r="G24">
        <v>0.55725000000000002</v>
      </c>
      <c r="H24">
        <v>0.87356</v>
      </c>
      <c r="I24">
        <v>0.16858000000000001</v>
      </c>
      <c r="J24">
        <f t="shared" si="1"/>
        <v>0.6163225</v>
      </c>
    </row>
    <row r="25" spans="1:10" x14ac:dyDescent="0.3">
      <c r="A25" t="s">
        <v>12</v>
      </c>
      <c r="B25">
        <v>30</v>
      </c>
      <c r="C25">
        <v>100</v>
      </c>
      <c r="D25">
        <v>5.0999999999999996</v>
      </c>
      <c r="E25">
        <v>2</v>
      </c>
      <c r="F25">
        <v>0.78159999999999996</v>
      </c>
      <c r="G25">
        <v>0.40458</v>
      </c>
      <c r="H25">
        <v>0.65134000000000003</v>
      </c>
      <c r="I25">
        <v>0.49808000000000002</v>
      </c>
      <c r="J25">
        <f t="shared" si="1"/>
        <v>0.58389999999999997</v>
      </c>
    </row>
    <row r="26" spans="1:10" x14ac:dyDescent="0.3">
      <c r="A26" t="s">
        <v>13</v>
      </c>
      <c r="B26">
        <v>1</v>
      </c>
      <c r="C26">
        <v>100</v>
      </c>
      <c r="D26">
        <v>5.5</v>
      </c>
      <c r="E26">
        <v>2</v>
      </c>
      <c r="F26">
        <v>0.68198999999999999</v>
      </c>
      <c r="G26">
        <v>0.59540999999999999</v>
      </c>
      <c r="H26">
        <v>0.61302000000000001</v>
      </c>
      <c r="I26">
        <v>0.71264000000000005</v>
      </c>
      <c r="J26">
        <f t="shared" si="1"/>
        <v>0.65076500000000004</v>
      </c>
    </row>
    <row r="27" spans="1:10" x14ac:dyDescent="0.3">
      <c r="A27" t="s">
        <v>11</v>
      </c>
      <c r="B27">
        <v>10</v>
      </c>
      <c r="C27">
        <v>50</v>
      </c>
      <c r="D27">
        <v>5.5</v>
      </c>
      <c r="E27">
        <v>2</v>
      </c>
      <c r="F27">
        <v>0.78159999999999996</v>
      </c>
      <c r="G27">
        <v>0.47317999999999999</v>
      </c>
      <c r="H27">
        <v>0.60153000000000001</v>
      </c>
      <c r="I27">
        <v>0.89276999999999995</v>
      </c>
      <c r="J27">
        <f t="shared" si="1"/>
        <v>0.68727000000000005</v>
      </c>
    </row>
    <row r="28" spans="1:10" x14ac:dyDescent="0.3">
      <c r="I28" t="s">
        <v>29</v>
      </c>
      <c r="J28">
        <f>AVERAGE(J20:J27)</f>
        <v>0.61210650938660749</v>
      </c>
    </row>
    <row r="29" spans="1:10" x14ac:dyDescent="0.3">
      <c r="A29" t="s">
        <v>14</v>
      </c>
      <c r="B29">
        <v>20</v>
      </c>
      <c r="C29">
        <v>100</v>
      </c>
      <c r="D29">
        <v>5.5</v>
      </c>
      <c r="E29">
        <v>2</v>
      </c>
      <c r="F29">
        <v>7.6619999999999994E-2</v>
      </c>
      <c r="G29">
        <v>0.64122000000000001</v>
      </c>
      <c r="H29">
        <v>0.62451999999999996</v>
      </c>
      <c r="I29">
        <v>0.52873000000000003</v>
      </c>
      <c r="J29">
        <f t="shared" ref="J29:J34" si="2">AVERAGE(F29:I29)</f>
        <v>0.46777250000000004</v>
      </c>
    </row>
    <row r="30" spans="1:10" x14ac:dyDescent="0.3">
      <c r="A30" t="s">
        <v>15</v>
      </c>
      <c r="B30">
        <v>30</v>
      </c>
      <c r="C30">
        <v>50</v>
      </c>
      <c r="D30">
        <v>5.5</v>
      </c>
      <c r="E30">
        <v>2</v>
      </c>
      <c r="F30">
        <v>0.44444</v>
      </c>
      <c r="G30">
        <v>0.61450000000000005</v>
      </c>
      <c r="H30">
        <v>0.63600999999999996</v>
      </c>
      <c r="I30">
        <v>0.39079999999999998</v>
      </c>
      <c r="J30">
        <f t="shared" si="2"/>
        <v>0.5214375</v>
      </c>
    </row>
    <row r="31" spans="1:10" x14ac:dyDescent="0.3">
      <c r="A31" t="s">
        <v>16</v>
      </c>
      <c r="B31">
        <v>1</v>
      </c>
      <c r="C31">
        <v>100</v>
      </c>
      <c r="D31">
        <v>5.2</v>
      </c>
      <c r="E31">
        <v>2</v>
      </c>
      <c r="F31">
        <v>0.90803999999999996</v>
      </c>
      <c r="G31">
        <v>0.49618000000000001</v>
      </c>
      <c r="H31">
        <v>1</v>
      </c>
      <c r="I31">
        <v>1</v>
      </c>
      <c r="J31">
        <f t="shared" si="2"/>
        <v>0.85105500000000001</v>
      </c>
    </row>
    <row r="32" spans="1:10" x14ac:dyDescent="0.3">
      <c r="A32" t="s">
        <v>17</v>
      </c>
      <c r="B32">
        <v>1</v>
      </c>
      <c r="C32">
        <v>50</v>
      </c>
      <c r="D32">
        <v>5.0999999999999996</v>
      </c>
      <c r="E32">
        <v>2</v>
      </c>
      <c r="F32">
        <v>0.66279999999999994</v>
      </c>
      <c r="G32">
        <v>0.4541</v>
      </c>
      <c r="H32">
        <v>0.39839999999999998</v>
      </c>
      <c r="I32">
        <v>0.80840000000000001</v>
      </c>
      <c r="J32">
        <f t="shared" si="2"/>
        <v>0.58092499999999991</v>
      </c>
    </row>
    <row r="33" spans="1:10" x14ac:dyDescent="0.3">
      <c r="A33" t="s">
        <v>18</v>
      </c>
      <c r="B33">
        <v>1</v>
      </c>
      <c r="C33">
        <v>100</v>
      </c>
      <c r="D33">
        <v>5.0999999999999996</v>
      </c>
      <c r="E33">
        <v>2</v>
      </c>
      <c r="F33">
        <v>0.77390000000000003</v>
      </c>
      <c r="G33">
        <v>0.43120000000000003</v>
      </c>
      <c r="H33">
        <v>0.39079999999999998</v>
      </c>
      <c r="I33">
        <v>0.56699999999999995</v>
      </c>
      <c r="J33">
        <f t="shared" si="2"/>
        <v>0.54072500000000001</v>
      </c>
    </row>
    <row r="34" spans="1:10" x14ac:dyDescent="0.3">
      <c r="A34" t="s">
        <v>19</v>
      </c>
      <c r="B34">
        <v>40</v>
      </c>
      <c r="C34">
        <v>80</v>
      </c>
      <c r="D34">
        <v>5.5</v>
      </c>
      <c r="E34">
        <v>2</v>
      </c>
      <c r="F34">
        <v>1</v>
      </c>
      <c r="G34">
        <v>1</v>
      </c>
      <c r="H34">
        <v>1</v>
      </c>
      <c r="I34">
        <v>0.50190000000000001</v>
      </c>
      <c r="J34">
        <f t="shared" si="2"/>
        <v>0.875475</v>
      </c>
    </row>
    <row r="35" spans="1:10" x14ac:dyDescent="0.3">
      <c r="I35" t="s">
        <v>30</v>
      </c>
      <c r="J35">
        <f>AVERAGE(J29:J34)</f>
        <v>0.63956500000000005</v>
      </c>
    </row>
    <row r="36" spans="1:10" x14ac:dyDescent="0.3">
      <c r="I36" t="s">
        <v>22</v>
      </c>
      <c r="J36">
        <f>AVERAGE(J28,J35)</f>
        <v>0.62583575469330377</v>
      </c>
    </row>
    <row r="37" spans="1:10" s="2" customFormat="1" x14ac:dyDescent="0.3">
      <c r="A37" s="2" t="s">
        <v>37</v>
      </c>
      <c r="B37" s="2" t="s">
        <v>0</v>
      </c>
      <c r="C37" s="2" t="s">
        <v>1</v>
      </c>
      <c r="D37" s="2" t="s">
        <v>26</v>
      </c>
      <c r="E37" s="2" t="s">
        <v>27</v>
      </c>
      <c r="F37" s="2" t="s">
        <v>2</v>
      </c>
      <c r="G37" s="2" t="s">
        <v>3</v>
      </c>
      <c r="H37" s="2" t="s">
        <v>4</v>
      </c>
      <c r="I37" s="2" t="s">
        <v>5</v>
      </c>
      <c r="J37" s="2" t="s">
        <v>6</v>
      </c>
    </row>
    <row r="38" spans="1:10" x14ac:dyDescent="0.3">
      <c r="A38" t="s">
        <v>7</v>
      </c>
      <c r="B38">
        <v>1</v>
      </c>
      <c r="C38">
        <v>100</v>
      </c>
      <c r="D38">
        <v>5.0999999999999996</v>
      </c>
      <c r="E38">
        <v>2</v>
      </c>
      <c r="F38">
        <v>0.63601532599999999</v>
      </c>
      <c r="G38">
        <v>0.75954198500000003</v>
      </c>
      <c r="H38">
        <v>0.95785440600000005</v>
      </c>
      <c r="I38">
        <v>0.287356322</v>
      </c>
      <c r="J38">
        <f t="shared" ref="J38:J45" si="3">AVERAGE(F38:I38)</f>
        <v>0.66019200975000003</v>
      </c>
    </row>
    <row r="39" spans="1:10" x14ac:dyDescent="0.3">
      <c r="A39" t="s">
        <v>8</v>
      </c>
      <c r="B39">
        <v>20</v>
      </c>
      <c r="C39">
        <v>50</v>
      </c>
      <c r="D39">
        <v>5.0999999999999996</v>
      </c>
      <c r="E39">
        <v>2</v>
      </c>
      <c r="F39">
        <v>2.6819922999999999E-2</v>
      </c>
      <c r="G39">
        <v>0.51526717600000005</v>
      </c>
      <c r="H39">
        <v>0.75095785400000004</v>
      </c>
      <c r="I39">
        <v>0.90038314200000003</v>
      </c>
      <c r="J39">
        <f t="shared" si="3"/>
        <v>0.54835702375000006</v>
      </c>
    </row>
    <row r="40" spans="1:10" x14ac:dyDescent="0.3">
      <c r="A40" t="s">
        <v>9</v>
      </c>
      <c r="B40">
        <v>30</v>
      </c>
      <c r="C40">
        <v>100</v>
      </c>
      <c r="D40">
        <v>5.2</v>
      </c>
      <c r="E40">
        <v>2</v>
      </c>
      <c r="F40">
        <v>0.72413793103448199</v>
      </c>
      <c r="G40">
        <v>0.13740458015267101</v>
      </c>
      <c r="H40">
        <v>0.94252873563218298</v>
      </c>
      <c r="I40">
        <v>0.51724137931034397</v>
      </c>
      <c r="J40">
        <f t="shared" si="3"/>
        <v>0.58032815653241998</v>
      </c>
    </row>
    <row r="41" spans="1:10" x14ac:dyDescent="0.3">
      <c r="A41" t="s">
        <v>39</v>
      </c>
      <c r="B41">
        <v>1</v>
      </c>
      <c r="C41">
        <v>100</v>
      </c>
      <c r="D41">
        <v>5.0999999999999996</v>
      </c>
      <c r="E41">
        <v>2</v>
      </c>
      <c r="F41">
        <v>0.64750957854406099</v>
      </c>
      <c r="G41">
        <v>0.70992366412213703</v>
      </c>
      <c r="H41">
        <v>0.639846743295019</v>
      </c>
      <c r="I41">
        <v>0.45593869731800701</v>
      </c>
      <c r="J41">
        <f t="shared" si="3"/>
        <v>0.613304670819806</v>
      </c>
    </row>
    <row r="42" spans="1:10" x14ac:dyDescent="0.3">
      <c r="A42" t="s">
        <v>10</v>
      </c>
      <c r="B42">
        <v>10</v>
      </c>
      <c r="C42">
        <v>200</v>
      </c>
      <c r="D42">
        <v>5.5</v>
      </c>
      <c r="E42">
        <v>2</v>
      </c>
      <c r="F42">
        <v>0.75478927200000001</v>
      </c>
      <c r="G42">
        <v>0.67175571999999995</v>
      </c>
      <c r="H42">
        <v>0.71264366999999995</v>
      </c>
      <c r="I42">
        <v>0.44444444</v>
      </c>
      <c r="J42">
        <f t="shared" si="3"/>
        <v>0.64590827549999996</v>
      </c>
    </row>
    <row r="43" spans="1:10" x14ac:dyDescent="0.3">
      <c r="A43" t="s">
        <v>12</v>
      </c>
      <c r="B43">
        <v>30</v>
      </c>
      <c r="C43">
        <v>100</v>
      </c>
      <c r="D43">
        <v>5.0999999999999996</v>
      </c>
      <c r="E43">
        <v>2</v>
      </c>
      <c r="F43">
        <v>1</v>
      </c>
      <c r="G43">
        <v>0.38549600000000001</v>
      </c>
      <c r="H43">
        <v>0.98850499999999997</v>
      </c>
      <c r="I43">
        <v>0.66283499999999995</v>
      </c>
      <c r="J43">
        <f t="shared" si="3"/>
        <v>0.75920899999999991</v>
      </c>
    </row>
    <row r="44" spans="1:10" x14ac:dyDescent="0.3">
      <c r="A44" t="s">
        <v>13</v>
      </c>
      <c r="B44">
        <v>10</v>
      </c>
      <c r="C44">
        <v>100</v>
      </c>
      <c r="D44">
        <v>5.0999999999999996</v>
      </c>
      <c r="E44">
        <v>2</v>
      </c>
      <c r="F44">
        <v>0.73563218390804597</v>
      </c>
      <c r="G44">
        <v>0.927203065134099</v>
      </c>
      <c r="H44">
        <v>0.41379310344827502</v>
      </c>
      <c r="I44">
        <v>0.62595419847328204</v>
      </c>
      <c r="J44">
        <f t="shared" si="3"/>
        <v>0.67564563774092545</v>
      </c>
    </row>
    <row r="45" spans="1:10" x14ac:dyDescent="0.3">
      <c r="A45" t="s">
        <v>11</v>
      </c>
      <c r="B45">
        <v>2</v>
      </c>
      <c r="C45">
        <v>100</v>
      </c>
      <c r="D45">
        <v>5.5</v>
      </c>
      <c r="E45">
        <v>2</v>
      </c>
      <c r="F45">
        <v>0.59770114942528696</v>
      </c>
      <c r="G45">
        <v>0.5</v>
      </c>
      <c r="H45">
        <v>0.50574712600000005</v>
      </c>
      <c r="I45">
        <v>0.75095785400000004</v>
      </c>
      <c r="J45">
        <f t="shared" si="3"/>
        <v>0.58860153235632184</v>
      </c>
    </row>
    <row r="46" spans="1:10" x14ac:dyDescent="0.3">
      <c r="I46" t="s">
        <v>31</v>
      </c>
      <c r="J46">
        <f>AVERAGE(J38:J45)</f>
        <v>0.63394328830618418</v>
      </c>
    </row>
    <row r="47" spans="1:10" x14ac:dyDescent="0.3">
      <c r="A47" t="s">
        <v>14</v>
      </c>
      <c r="B47">
        <v>20</v>
      </c>
      <c r="C47">
        <v>100</v>
      </c>
      <c r="D47">
        <v>5.5</v>
      </c>
      <c r="E47">
        <v>2</v>
      </c>
      <c r="F47">
        <v>0.80534300000000003</v>
      </c>
      <c r="G47">
        <v>5.3639800000000001E-2</v>
      </c>
      <c r="H47">
        <v>0.57088119999999998</v>
      </c>
      <c r="I47">
        <v>0.66666599999999998</v>
      </c>
      <c r="J47">
        <f t="shared" ref="J47:J52" si="4">AVERAGE(F47:I47)</f>
        <v>0.5241325</v>
      </c>
    </row>
    <row r="48" spans="1:10" x14ac:dyDescent="0.3">
      <c r="A48" t="s">
        <v>15</v>
      </c>
      <c r="B48">
        <v>30</v>
      </c>
      <c r="C48">
        <v>50</v>
      </c>
      <c r="D48">
        <v>5.5</v>
      </c>
      <c r="E48">
        <v>2</v>
      </c>
      <c r="F48">
        <v>0.62997000000000003</v>
      </c>
      <c r="G48">
        <v>0.24379000000000001</v>
      </c>
      <c r="H48">
        <v>0.97701099999999996</v>
      </c>
      <c r="I48">
        <v>0.73563210000000001</v>
      </c>
      <c r="J48">
        <f t="shared" si="4"/>
        <v>0.64660077500000002</v>
      </c>
    </row>
    <row r="49" spans="1:10" x14ac:dyDescent="0.3">
      <c r="A49" t="s">
        <v>16</v>
      </c>
      <c r="B49">
        <v>1</v>
      </c>
      <c r="C49">
        <v>100</v>
      </c>
      <c r="D49">
        <v>5.2</v>
      </c>
      <c r="E49">
        <v>2</v>
      </c>
      <c r="F49">
        <v>0.93103400000000003</v>
      </c>
      <c r="G49">
        <v>0.8697319</v>
      </c>
      <c r="H49">
        <v>0.60153199999999996</v>
      </c>
      <c r="I49">
        <v>8.0152000000000001E-2</v>
      </c>
      <c r="J49">
        <f t="shared" si="4"/>
        <v>0.62061247499999994</v>
      </c>
    </row>
    <row r="50" spans="1:10" x14ac:dyDescent="0.3">
      <c r="A50" t="s">
        <v>17</v>
      </c>
      <c r="B50">
        <v>20</v>
      </c>
      <c r="C50">
        <v>100</v>
      </c>
      <c r="D50">
        <v>5.5</v>
      </c>
      <c r="E50">
        <v>2</v>
      </c>
      <c r="F50">
        <v>0.88888800000000001</v>
      </c>
      <c r="G50">
        <v>0.53815999999999997</v>
      </c>
      <c r="H50">
        <v>0.70498000000000005</v>
      </c>
      <c r="I50">
        <v>0.71647499999999997</v>
      </c>
      <c r="J50">
        <f t="shared" si="4"/>
        <v>0.71212575</v>
      </c>
    </row>
    <row r="51" spans="1:10" x14ac:dyDescent="0.3">
      <c r="A51" t="s">
        <v>18</v>
      </c>
      <c r="B51">
        <v>20</v>
      </c>
      <c r="C51">
        <v>100</v>
      </c>
      <c r="D51">
        <v>5.5</v>
      </c>
      <c r="E51">
        <v>2</v>
      </c>
      <c r="F51">
        <v>0.88888800000000001</v>
      </c>
      <c r="G51">
        <v>0.54580099999999998</v>
      </c>
      <c r="H51">
        <v>0.70114900000000002</v>
      </c>
      <c r="I51">
        <v>0.18773899999999999</v>
      </c>
      <c r="J51">
        <f t="shared" si="4"/>
        <v>0.58089425000000006</v>
      </c>
    </row>
    <row r="52" spans="1:10" x14ac:dyDescent="0.3">
      <c r="A52" t="s">
        <v>19</v>
      </c>
      <c r="B52">
        <v>40</v>
      </c>
      <c r="C52">
        <v>80</v>
      </c>
      <c r="D52">
        <v>5.5</v>
      </c>
      <c r="E52">
        <v>2</v>
      </c>
      <c r="F52">
        <v>1</v>
      </c>
      <c r="G52">
        <v>1</v>
      </c>
      <c r="H52">
        <v>1</v>
      </c>
      <c r="I52">
        <v>0.41762452100000003</v>
      </c>
      <c r="J52">
        <f t="shared" si="4"/>
        <v>0.85440613025000001</v>
      </c>
    </row>
    <row r="53" spans="1:10" x14ac:dyDescent="0.3">
      <c r="I53" t="s">
        <v>32</v>
      </c>
      <c r="J53">
        <f>AVERAGE(J47:J52)</f>
        <v>0.65646198004166667</v>
      </c>
    </row>
    <row r="54" spans="1:10" x14ac:dyDescent="0.3">
      <c r="I54" t="s">
        <v>24</v>
      </c>
      <c r="J54">
        <f>AVERAGE(J46,J53)</f>
        <v>0.64520263417392543</v>
      </c>
    </row>
    <row r="55" spans="1:10" x14ac:dyDescent="0.3">
      <c r="I55" t="s">
        <v>25</v>
      </c>
      <c r="J55">
        <f>AVERAGE(J18,J36,J53)</f>
        <v>0.63462032925313527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2018-12-28T05:28:23Z</cp:lastPrinted>
  <dcterms:created xsi:type="dcterms:W3CDTF">2018-12-17T15:20:52Z</dcterms:created>
  <dcterms:modified xsi:type="dcterms:W3CDTF">2019-01-01T15:21:02Z</dcterms:modified>
</cp:coreProperties>
</file>